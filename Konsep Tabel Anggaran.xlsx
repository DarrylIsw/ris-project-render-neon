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Dimas\Downloads\"/>
    </mc:Choice>
  </mc:AlternateContent>
  <xr:revisionPtr revIDLastSave="3" documentId="13_ncr:1_{3C214E06-08A8-40A2-9451-D63C5557A096}" xr6:coauthVersionLast="47" xr6:coauthVersionMax="47" xr10:uidLastSave="{1B8C3BDB-F188-4089-8E1D-507EB65CE89B}"/>
  <bookViews>
    <workbookView xWindow="-108" yWindow="-108" windowWidth="23256" windowHeight="12456" xr2:uid="{45CB0D31-D8CA-4F3E-B58B-DC6B50CBE0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0" i="1"/>
  <c r="J29" i="1"/>
  <c r="J28" i="1"/>
  <c r="J27" i="1"/>
  <c r="J26" i="1"/>
  <c r="J25" i="1"/>
  <c r="J24" i="1"/>
  <c r="J23" i="1"/>
  <c r="J22" i="1"/>
  <c r="J21" i="1"/>
  <c r="J20" i="1"/>
  <c r="J19" i="1"/>
  <c r="G18" i="1"/>
  <c r="J18" i="1" s="1"/>
  <c r="J17" i="1"/>
  <c r="G16" i="1"/>
  <c r="J16" i="1" s="1"/>
  <c r="J31" i="1" s="1"/>
  <c r="J14" i="1"/>
  <c r="J13" i="1"/>
  <c r="J12" i="1"/>
  <c r="J11" i="1"/>
  <c r="J15" i="1" s="1"/>
  <c r="J10" i="1"/>
  <c r="J9" i="1"/>
  <c r="J84" i="1" l="1"/>
</calcChain>
</file>

<file path=xl/sharedStrings.xml><?xml version="1.0" encoding="utf-8"?>
<sst xmlns="http://schemas.openxmlformats.org/spreadsheetml/2006/main" count="205" uniqueCount="121">
  <si>
    <t>Template Rancangan Anggaran Bima  Diktisaintek</t>
  </si>
  <si>
    <t>Tahun</t>
  </si>
  <si>
    <t>:</t>
  </si>
  <si>
    <t>Judul Penelitian</t>
  </si>
  <si>
    <t>Arsitektur Inklusif Lintas-Sensori: Translasi Taktil-Visual dari Stimulus Suara untuk Penyandang Tunarungu di Lingkungan Binaan Menggunakan Desain Komputasi Parametrik</t>
  </si>
  <si>
    <t xml:space="preserve">Tahun Anggaran </t>
  </si>
  <si>
    <t>Tahun 1</t>
  </si>
  <si>
    <t>Kelompok Anggaran</t>
  </si>
  <si>
    <t>No.</t>
  </si>
  <si>
    <t>Komponen</t>
  </si>
  <si>
    <t xml:space="preserve">Item </t>
  </si>
  <si>
    <t>Keterangan PMK dan Batas SBM</t>
  </si>
  <si>
    <t>Contoh Item</t>
  </si>
  <si>
    <t>Volume</t>
  </si>
  <si>
    <t>Satuan</t>
  </si>
  <si>
    <t>Harga Satuan</t>
  </si>
  <si>
    <t>Total</t>
  </si>
  <si>
    <t>(Isi Sesuai Jawaban)</t>
  </si>
  <si>
    <t>(Isi sesuai Jawaban)</t>
  </si>
  <si>
    <r>
      <t xml:space="preserve">Catatan : Cabarkan Nama Barang/Jasa serta rincian jumlah dan kegunaannya </t>
    </r>
    <r>
      <rPr>
        <b/>
        <i/>
        <sz val="8"/>
        <color theme="1"/>
        <rFont val="Arial"/>
        <family val="2"/>
      </rPr>
      <t>(Wajib diisi)</t>
    </r>
  </si>
  <si>
    <r>
      <t>Catatan ini hanya sebagai informasi untuk setiap item (</t>
    </r>
    <r>
      <rPr>
        <b/>
        <i/>
        <sz val="8"/>
        <color theme="1"/>
        <rFont val="Arial"/>
        <family val="2"/>
      </rPr>
      <t xml:space="preserve"> tidak perlu diisi)</t>
    </r>
  </si>
  <si>
    <t>(Total Semua Komponen)</t>
  </si>
  <si>
    <t>(Isi Sesuai Jenis Barang/Jasa)</t>
  </si>
  <si>
    <t>Harga Barang/jasa</t>
  </si>
  <si>
    <t>Bahan</t>
  </si>
  <si>
    <t>Belanja ATK</t>
  </si>
  <si>
    <t>Kertas A3</t>
  </si>
  <si>
    <t>Pengadaan alat tulis kantor untuk mendukung administrasi dan dokumentasi penelitian.</t>
  </si>
  <si>
    <t>Kertas, tinta printer, pulpen, map, buku catatan</t>
  </si>
  <si>
    <t>Rim</t>
  </si>
  <si>
    <t>Belanja Penelitian (Habis Pakai)</t>
  </si>
  <si>
    <t>Bahan 3D printing (Filamen)</t>
  </si>
  <si>
    <t>Pengadaan bahan penelitian yang digunakan langsung dan habis dalam proses penelitian.</t>
  </si>
  <si>
    <t>Reagen, bahan kimia, kuesioner cetak, media uji</t>
  </si>
  <si>
    <t>Pcs</t>
  </si>
  <si>
    <t>Panel GRC (eksplorasi desain)</t>
  </si>
  <si>
    <t>Paket</t>
  </si>
  <si>
    <t>Total Biaya Bahan</t>
  </si>
  <si>
    <t>Pengumpulan Data</t>
  </si>
  <si>
    <t>HR Pembantu Peneliti</t>
  </si>
  <si>
    <t>Asisten Peneliti</t>
  </si>
  <si>
    <t>1. Honorarium untuk tenaga pendukung yang membantu pelaksanaan penelitian.
2. Standar Acuan Biaya : 25.000 Per Jam, Maksimal 3 jam, maksimal 20 hari/bulan</t>
  </si>
  <si>
    <t>Programer, Anotasi, Pembantu validasi, pembantu model</t>
  </si>
  <si>
    <t>OJ</t>
  </si>
  <si>
    <t>HR Narasumber</t>
  </si>
  <si>
    <t>Narasumber; teknik perekaman dan seleksi data rekaman)</t>
  </si>
  <si>
    <t>1. Honorarium bagi narasumber yang memberikan informasi atau data dalam kegiatan penelitian.
2. Standar Acuan Biaya 
Standar = 900.000 Per Jam Jika dari pemerintah/Pendidikan/Perusahaan
Standar = 1,700.000 Per Jam Jika Status Praktisi/Profesional</t>
  </si>
  <si>
    <t>Narasumber wawancara</t>
  </si>
  <si>
    <t>OH</t>
  </si>
  <si>
    <t>Biaya Konsumsi</t>
  </si>
  <si>
    <t>Konsumsi rapat koordinasi</t>
  </si>
  <si>
    <t>1. Biaya penyediaan konsumsi selama kegiatan pengumpulan data berlangsung.
2. Acuan Biaya 
   Standar Banten -&gt; Makan = 54 rb + Kudapan 21 rb Per Kegiatan</t>
  </si>
  <si>
    <t>Snack dan makan siang</t>
  </si>
  <si>
    <t>OK</t>
  </si>
  <si>
    <t>Honorarium Petugas Survei</t>
  </si>
  <si>
    <t>1. Honorarium bagi petugas yang melaksanakan kegiatan survei kepada responden.
2. Acuan Biaya 
   Berdasarkan jumlah responden di kali 8 rb</t>
  </si>
  <si>
    <t>Enumerator survei</t>
  </si>
  <si>
    <t>OR</t>
  </si>
  <si>
    <t>Kegiatan Survei</t>
  </si>
  <si>
    <t>Biaya operasional pelaksanaan survei penelitian di lapangan.</t>
  </si>
  <si>
    <t>Percetakan kuesioner</t>
  </si>
  <si>
    <t>Honor Pembantu Lapangan</t>
  </si>
  <si>
    <t>1. Honorarium bagi tenaga yang membantu kegiatan teknis di lapangan selama penelitian.
2. Acuan Biaya
   Standar Maksimal -&gt; 80 rb per hari</t>
  </si>
  <si>
    <t>Tenaga pendamping lapangan</t>
  </si>
  <si>
    <t>Biaya Taksi Bandara/Transportasi</t>
  </si>
  <si>
    <t>Transportasi rapat koordinasi (Tangerang - Bandung)</t>
  </si>
  <si>
    <t>1. Biaya transportasi lokal untuk mendukung mobilitas tim penelitian.
2. Acuan Biaya : OTS</t>
  </si>
  <si>
    <t>Taksi, transport online</t>
  </si>
  <si>
    <t>Hari</t>
  </si>
  <si>
    <t>Uang Harian Dalam Negeri</t>
  </si>
  <si>
    <t>Uang harian peneliti (luar kota)</t>
  </si>
  <si>
    <t>1. Biaya uang harian bagi peneliti selama kegiatan pengumpulan data di dalam negeri.
2. Acuan Biaya</t>
  </si>
  <si>
    <t>Uang saku perjalanan dinas</t>
  </si>
  <si>
    <t>Penginapan</t>
  </si>
  <si>
    <t>Rapat koordinasi (Tangerang - Bandung)</t>
  </si>
  <si>
    <t>Biaya akomodasi selama pelaksanaan pengumpulan data di luar domisili.</t>
  </si>
  <si>
    <t>Hotel atau penginapan</t>
  </si>
  <si>
    <t>Per Malam</t>
  </si>
  <si>
    <t>Tiket</t>
  </si>
  <si>
    <t>Biaya tiket perjalanan untuk kegiatan pengumpulan data.</t>
  </si>
  <si>
    <t>Tiket pesawat atau kereta</t>
  </si>
  <si>
    <t>Total Pengumpulan Data</t>
  </si>
  <si>
    <t>Sewa Peralatan</t>
  </si>
  <si>
    <t>Kendaraan</t>
  </si>
  <si>
    <t>Kebun Percobaan/Lahan Percobaan</t>
  </si>
  <si>
    <t>Objek Penelitian</t>
  </si>
  <si>
    <t>Ruang Penunjang Penelitian</t>
  </si>
  <si>
    <t>Lab komputer</t>
  </si>
  <si>
    <t>Peralatan Penelitian</t>
  </si>
  <si>
    <t>Software pengolahan dan analisis data (subscription 1 tahun) gracehoper</t>
  </si>
  <si>
    <t>Per Tahun</t>
  </si>
  <si>
    <t>Total Biaya Sewa Peralatan</t>
  </si>
  <si>
    <t>Analisis Data</t>
  </si>
  <si>
    <t>Uang Harian</t>
  </si>
  <si>
    <t>Transport</t>
  </si>
  <si>
    <t>Penginapan rapat koordinasi (Tangerang - Bandung)</t>
  </si>
  <si>
    <t>HR Pengolah Data</t>
  </si>
  <si>
    <t>Honorarium Narasumber</t>
  </si>
  <si>
    <t>Narasumber; teknik translasi suara --&gt; visual taktil</t>
  </si>
  <si>
    <t>Biaya Analisis Sample</t>
  </si>
  <si>
    <t>HR Sekretariat/Administrasi Peneliti</t>
  </si>
  <si>
    <t>Biaya Konsumsi Rapat</t>
  </si>
  <si>
    <t>FGD - Uji Pengguna (biaya transport dan konsumsi sample pengguna)</t>
  </si>
  <si>
    <t>Pertemuan</t>
  </si>
  <si>
    <t>Total Biaya Analisis Data</t>
  </si>
  <si>
    <t>Pelaporan Hasil Penelitian dan Luaran Wajib</t>
  </si>
  <si>
    <t xml:space="preserve">Uang harian Rapat di luar Kantor </t>
  </si>
  <si>
    <t>Biaya Publikasi Artikel di Jurnal Bereputasi Internasional</t>
  </si>
  <si>
    <t xml:space="preserve">Uang harian Rapat di dalam Kantor </t>
  </si>
  <si>
    <t>Biaya Pendaftaran KI</t>
  </si>
  <si>
    <t>Biaya pembuatan dokumen uji produk</t>
  </si>
  <si>
    <t>Biaya Seminar Nasional</t>
  </si>
  <si>
    <t>Biaya Seminar Internasional</t>
  </si>
  <si>
    <t>Biaya Publikasi Artikel di Jurnal Bereputasi Nasional</t>
  </si>
  <si>
    <t>Biaya publikasi jurnal SINTA 4</t>
  </si>
  <si>
    <t>Biaya Luaran KI</t>
  </si>
  <si>
    <t>Biaya Luaran Iptek Lainnya ( Purwa rupa, TTG, dll)</t>
  </si>
  <si>
    <t>Panel Purwa rupa 40x40 cm</t>
  </si>
  <si>
    <t xml:space="preserve">Biaya pembuatan buku </t>
  </si>
  <si>
    <t>Biaya pembuatan dokumen visibilitas study</t>
  </si>
  <si>
    <t>Total Biaya Pelaporan Hasil Penelitian dan Luaran Wajib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</si>
</sst>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13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1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2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wrapText="1"/>
    </xf>
    <xf numFmtId="0" fontId="9" fillId="0" borderId="7" xfId="0" applyFont="1" applyBorder="1"/>
    <xf numFmtId="0" fontId="10" fillId="0" borderId="7" xfId="0" applyFont="1" applyBorder="1" applyAlignment="1">
      <alignment vertical="center" wrapText="1"/>
    </xf>
    <xf numFmtId="1" fontId="9" fillId="0" borderId="4" xfId="0" applyNumberFormat="1" applyFont="1" applyBorder="1" applyAlignment="1">
      <alignment horizontal="center"/>
    </xf>
    <xf numFmtId="44" fontId="9" fillId="0" borderId="4" xfId="0" applyNumberFormat="1" applyFont="1" applyBorder="1"/>
    <xf numFmtId="0" fontId="5" fillId="0" borderId="0" xfId="0" applyFont="1"/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1" fontId="9" fillId="0" borderId="7" xfId="0" applyNumberFormat="1" applyFont="1" applyBorder="1" applyAlignment="1">
      <alignment horizontal="center"/>
    </xf>
    <xf numFmtId="44" fontId="9" fillId="0" borderId="7" xfId="0" applyNumberFormat="1" applyFont="1" applyBorder="1"/>
    <xf numFmtId="0" fontId="11" fillId="0" borderId="7" xfId="0" applyFont="1" applyBorder="1"/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wrapText="1"/>
    </xf>
    <xf numFmtId="1" fontId="11" fillId="0" borderId="7" xfId="0" applyNumberFormat="1" applyFont="1" applyBorder="1" applyAlignment="1">
      <alignment horizontal="center"/>
    </xf>
    <xf numFmtId="44" fontId="11" fillId="0" borderId="7" xfId="0" applyNumberFormat="1" applyFont="1" applyBorder="1"/>
    <xf numFmtId="44" fontId="5" fillId="0" borderId="7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7" fillId="0" borderId="7" xfId="0" applyFont="1" applyBorder="1" applyAlignment="1">
      <alignment wrapText="1"/>
    </xf>
    <xf numFmtId="0" fontId="8" fillId="0" borderId="7" xfId="0" applyFont="1" applyBorder="1" applyAlignment="1">
      <alignment wrapText="1"/>
    </xf>
    <xf numFmtId="44" fontId="2" fillId="0" borderId="7" xfId="0" applyNumberFormat="1" applyFont="1" applyBorder="1" applyAlignment="1">
      <alignment vertical="center"/>
    </xf>
    <xf numFmtId="44" fontId="1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F152-E79A-4C6A-9B22-B4B21CF3C7CD}">
  <dimension ref="A1:J96"/>
  <sheetViews>
    <sheetView tabSelected="1" topLeftCell="A55" zoomScale="70" zoomScaleNormal="70" workbookViewId="0">
      <selection activeCell="D12" sqref="D12"/>
    </sheetView>
  </sheetViews>
  <sheetFormatPr defaultColWidth="8.85546875" defaultRowHeight="13.9"/>
  <cols>
    <col min="1" max="1" width="45.7109375" style="2" customWidth="1"/>
    <col min="2" max="2" width="4.7109375" style="2" customWidth="1"/>
    <col min="3" max="3" width="31.7109375" style="3" customWidth="1"/>
    <col min="4" max="4" width="63.5703125" style="2" customWidth="1"/>
    <col min="5" max="5" width="67.85546875" style="2" hidden="1" customWidth="1"/>
    <col min="6" max="6" width="31.28515625" style="3" hidden="1" customWidth="1"/>
    <col min="7" max="7" width="12.7109375" style="4" customWidth="1"/>
    <col min="8" max="8" width="23.5703125" style="2" customWidth="1"/>
    <col min="9" max="9" width="25.28515625" style="2" customWidth="1"/>
    <col min="10" max="10" width="32.85546875" style="2" customWidth="1"/>
    <col min="11" max="16384" width="8.85546875" style="2"/>
  </cols>
  <sheetData>
    <row r="1" spans="1:10" ht="15.6">
      <c r="A1" s="1" t="s">
        <v>0</v>
      </c>
    </row>
    <row r="2" spans="1:10" ht="15">
      <c r="A2" s="5" t="s">
        <v>1</v>
      </c>
      <c r="B2" s="6" t="s">
        <v>2</v>
      </c>
      <c r="C2" s="7">
        <v>2026</v>
      </c>
    </row>
    <row r="3" spans="1:10" ht="15">
      <c r="A3" s="5" t="s">
        <v>3</v>
      </c>
      <c r="B3" s="6" t="s">
        <v>2</v>
      </c>
      <c r="C3" s="8" t="s">
        <v>4</v>
      </c>
    </row>
    <row r="4" spans="1:10" ht="15">
      <c r="A4" s="5" t="s">
        <v>5</v>
      </c>
      <c r="B4" s="6" t="s">
        <v>2</v>
      </c>
      <c r="C4" s="7" t="s">
        <v>6</v>
      </c>
    </row>
    <row r="7" spans="1:10" ht="22.9" customHeight="1">
      <c r="A7" s="9" t="s">
        <v>7</v>
      </c>
      <c r="B7" s="43" t="s">
        <v>8</v>
      </c>
      <c r="C7" s="9" t="s">
        <v>9</v>
      </c>
      <c r="D7" s="10" t="s">
        <v>10</v>
      </c>
      <c r="E7" s="9" t="s">
        <v>11</v>
      </c>
      <c r="F7" s="9" t="s">
        <v>12</v>
      </c>
      <c r="G7" s="11" t="s">
        <v>13</v>
      </c>
      <c r="H7" s="10" t="s">
        <v>14</v>
      </c>
      <c r="I7" s="12" t="s">
        <v>15</v>
      </c>
      <c r="J7" s="45" t="s">
        <v>16</v>
      </c>
    </row>
    <row r="8" spans="1:10" ht="13.15" customHeight="1">
      <c r="A8" s="13" t="s">
        <v>17</v>
      </c>
      <c r="B8" s="44"/>
      <c r="C8" s="13" t="s">
        <v>18</v>
      </c>
      <c r="D8" s="14" t="s">
        <v>19</v>
      </c>
      <c r="E8" s="13" t="s">
        <v>20</v>
      </c>
      <c r="F8" s="13"/>
      <c r="G8" s="15" t="s">
        <v>21</v>
      </c>
      <c r="H8" s="14" t="s">
        <v>22</v>
      </c>
      <c r="I8" s="16" t="s">
        <v>23</v>
      </c>
      <c r="J8" s="46"/>
    </row>
    <row r="9" spans="1:10" s="24" customFormat="1" ht="27.6">
      <c r="A9" s="17" t="s">
        <v>24</v>
      </c>
      <c r="B9" s="18">
        <v>1</v>
      </c>
      <c r="C9" s="19" t="s">
        <v>25</v>
      </c>
      <c r="D9" s="20" t="s">
        <v>26</v>
      </c>
      <c r="E9" s="21" t="s">
        <v>27</v>
      </c>
      <c r="F9" s="21" t="s">
        <v>28</v>
      </c>
      <c r="G9" s="22">
        <v>1</v>
      </c>
      <c r="H9" s="17" t="s">
        <v>29</v>
      </c>
      <c r="I9" s="23">
        <v>150000</v>
      </c>
      <c r="J9" s="23">
        <f>I9*G9</f>
        <v>150000</v>
      </c>
    </row>
    <row r="10" spans="1:10" s="24" customFormat="1" ht="27.6">
      <c r="A10" s="20" t="s">
        <v>24</v>
      </c>
      <c r="B10" s="25">
        <v>2</v>
      </c>
      <c r="C10" s="26" t="s">
        <v>30</v>
      </c>
      <c r="D10" s="20" t="s">
        <v>31</v>
      </c>
      <c r="E10" s="21" t="s">
        <v>32</v>
      </c>
      <c r="F10" s="21" t="s">
        <v>33</v>
      </c>
      <c r="G10" s="27">
        <v>5</v>
      </c>
      <c r="H10" s="20" t="s">
        <v>34</v>
      </c>
      <c r="I10" s="28">
        <v>200000</v>
      </c>
      <c r="J10" s="28">
        <f t="shared" ref="J10:J30" si="0">I10*G10</f>
        <v>1000000</v>
      </c>
    </row>
    <row r="11" spans="1:10" s="24" customFormat="1">
      <c r="A11" s="20" t="s">
        <v>24</v>
      </c>
      <c r="B11" s="25">
        <v>3</v>
      </c>
      <c r="C11" s="26" t="s">
        <v>30</v>
      </c>
      <c r="D11" s="20" t="s">
        <v>35</v>
      </c>
      <c r="E11" s="20"/>
      <c r="F11" s="26"/>
      <c r="G11" s="27">
        <v>1</v>
      </c>
      <c r="H11" s="20" t="s">
        <v>36</v>
      </c>
      <c r="I11" s="28">
        <v>5000000</v>
      </c>
      <c r="J11" s="28">
        <f t="shared" si="0"/>
        <v>5000000</v>
      </c>
    </row>
    <row r="12" spans="1:10">
      <c r="A12" s="29" t="s">
        <v>24</v>
      </c>
      <c r="B12" s="30">
        <v>4</v>
      </c>
      <c r="C12" s="31"/>
      <c r="D12" s="29"/>
      <c r="E12" s="29"/>
      <c r="F12" s="31"/>
      <c r="G12" s="32">
        <v>1</v>
      </c>
      <c r="H12" s="29"/>
      <c r="I12" s="33">
        <v>0</v>
      </c>
      <c r="J12" s="33">
        <f t="shared" si="0"/>
        <v>0</v>
      </c>
    </row>
    <row r="13" spans="1:10">
      <c r="A13" s="29" t="s">
        <v>24</v>
      </c>
      <c r="B13" s="30">
        <v>5</v>
      </c>
      <c r="C13" s="31"/>
      <c r="D13" s="29"/>
      <c r="E13" s="29"/>
      <c r="F13" s="31"/>
      <c r="G13" s="32">
        <v>1</v>
      </c>
      <c r="H13" s="29"/>
      <c r="I13" s="33">
        <v>0</v>
      </c>
      <c r="J13" s="33">
        <f t="shared" si="0"/>
        <v>0</v>
      </c>
    </row>
    <row r="14" spans="1:10">
      <c r="A14" s="29" t="s">
        <v>24</v>
      </c>
      <c r="B14" s="30">
        <v>6</v>
      </c>
      <c r="C14" s="31"/>
      <c r="D14" s="29"/>
      <c r="E14" s="29"/>
      <c r="F14" s="31"/>
      <c r="G14" s="32">
        <v>1</v>
      </c>
      <c r="H14" s="29"/>
      <c r="I14" s="33">
        <v>0</v>
      </c>
      <c r="J14" s="33">
        <f t="shared" si="0"/>
        <v>0</v>
      </c>
    </row>
    <row r="15" spans="1:10" s="35" customFormat="1" ht="22.9" customHeight="1">
      <c r="A15" s="47" t="s">
        <v>37</v>
      </c>
      <c r="B15" s="47"/>
      <c r="C15" s="47"/>
      <c r="D15" s="47"/>
      <c r="E15" s="47"/>
      <c r="F15" s="47"/>
      <c r="G15" s="47"/>
      <c r="H15" s="47"/>
      <c r="I15" s="47"/>
      <c r="J15" s="34">
        <f>SUMPRODUCT(J9:J14)</f>
        <v>6150000</v>
      </c>
    </row>
    <row r="16" spans="1:10" s="24" customFormat="1" ht="26.45">
      <c r="A16" s="20" t="s">
        <v>38</v>
      </c>
      <c r="B16" s="25">
        <v>1</v>
      </c>
      <c r="C16" s="26" t="s">
        <v>39</v>
      </c>
      <c r="D16" s="20" t="s">
        <v>40</v>
      </c>
      <c r="E16" s="36" t="s">
        <v>41</v>
      </c>
      <c r="F16" s="26" t="s">
        <v>42</v>
      </c>
      <c r="G16" s="27">
        <f>3*12*8</f>
        <v>288</v>
      </c>
      <c r="H16" s="20" t="s">
        <v>43</v>
      </c>
      <c r="I16" s="28">
        <v>25000</v>
      </c>
      <c r="J16" s="28">
        <f t="shared" si="0"/>
        <v>7200000</v>
      </c>
    </row>
    <row r="17" spans="1:10" s="24" customFormat="1" ht="51.6">
      <c r="A17" s="20" t="s">
        <v>38</v>
      </c>
      <c r="B17" s="25">
        <v>2</v>
      </c>
      <c r="C17" s="26" t="s">
        <v>44</v>
      </c>
      <c r="D17" s="20" t="s">
        <v>45</v>
      </c>
      <c r="E17" s="36" t="s">
        <v>46</v>
      </c>
      <c r="F17" s="26" t="s">
        <v>47</v>
      </c>
      <c r="G17" s="27">
        <v>2</v>
      </c>
      <c r="H17" s="20" t="s">
        <v>48</v>
      </c>
      <c r="I17" s="28">
        <v>900000</v>
      </c>
      <c r="J17" s="28">
        <f t="shared" si="0"/>
        <v>1800000</v>
      </c>
    </row>
    <row r="18" spans="1:10" s="24" customFormat="1" ht="31.15">
      <c r="A18" s="20" t="s">
        <v>38</v>
      </c>
      <c r="B18" s="25">
        <v>3</v>
      </c>
      <c r="C18" s="26" t="s">
        <v>49</v>
      </c>
      <c r="D18" s="20" t="s">
        <v>50</v>
      </c>
      <c r="E18" s="36" t="s">
        <v>51</v>
      </c>
      <c r="F18" s="26" t="s">
        <v>52</v>
      </c>
      <c r="G18" s="27">
        <f>4*2</f>
        <v>8</v>
      </c>
      <c r="H18" s="20" t="s">
        <v>53</v>
      </c>
      <c r="I18" s="28">
        <v>54000</v>
      </c>
      <c r="J18" s="28">
        <f t="shared" si="0"/>
        <v>432000</v>
      </c>
    </row>
    <row r="19" spans="1:10" ht="31.15">
      <c r="A19" s="29" t="s">
        <v>38</v>
      </c>
      <c r="B19" s="30">
        <v>4</v>
      </c>
      <c r="C19" s="31" t="s">
        <v>54</v>
      </c>
      <c r="D19" s="29"/>
      <c r="E19" s="37" t="s">
        <v>55</v>
      </c>
      <c r="F19" s="31" t="s">
        <v>56</v>
      </c>
      <c r="G19" s="32">
        <v>1</v>
      </c>
      <c r="H19" s="29" t="s">
        <v>57</v>
      </c>
      <c r="I19" s="33">
        <v>0</v>
      </c>
      <c r="J19" s="33">
        <f t="shared" si="0"/>
        <v>0</v>
      </c>
    </row>
    <row r="20" spans="1:10">
      <c r="A20" s="29" t="s">
        <v>38</v>
      </c>
      <c r="B20" s="30">
        <v>5</v>
      </c>
      <c r="C20" s="31" t="s">
        <v>58</v>
      </c>
      <c r="D20" s="29"/>
      <c r="E20" s="37" t="s">
        <v>59</v>
      </c>
      <c r="F20" s="31" t="s">
        <v>60</v>
      </c>
      <c r="G20" s="32">
        <v>1</v>
      </c>
      <c r="H20" s="29" t="s">
        <v>53</v>
      </c>
      <c r="I20" s="33">
        <v>0</v>
      </c>
      <c r="J20" s="33">
        <f t="shared" si="0"/>
        <v>0</v>
      </c>
    </row>
    <row r="21" spans="1:10" ht="31.15">
      <c r="A21" s="29" t="s">
        <v>38</v>
      </c>
      <c r="B21" s="30">
        <v>6</v>
      </c>
      <c r="C21" s="31" t="s">
        <v>61</v>
      </c>
      <c r="D21" s="29"/>
      <c r="E21" s="37" t="s">
        <v>62</v>
      </c>
      <c r="F21" s="31" t="s">
        <v>63</v>
      </c>
      <c r="G21" s="32">
        <v>1</v>
      </c>
      <c r="H21" s="29" t="s">
        <v>48</v>
      </c>
      <c r="I21" s="33">
        <v>0</v>
      </c>
      <c r="J21" s="33">
        <f t="shared" si="0"/>
        <v>0</v>
      </c>
    </row>
    <row r="22" spans="1:10" s="24" customFormat="1" ht="21">
      <c r="A22" s="20" t="s">
        <v>38</v>
      </c>
      <c r="B22" s="25">
        <v>7</v>
      </c>
      <c r="C22" s="26" t="s">
        <v>64</v>
      </c>
      <c r="D22" s="20" t="s">
        <v>65</v>
      </c>
      <c r="E22" s="36" t="s">
        <v>66</v>
      </c>
      <c r="F22" s="26" t="s">
        <v>67</v>
      </c>
      <c r="G22" s="27">
        <v>2</v>
      </c>
      <c r="H22" s="20" t="s">
        <v>68</v>
      </c>
      <c r="I22" s="28">
        <v>900000</v>
      </c>
      <c r="J22" s="28">
        <f t="shared" si="0"/>
        <v>1800000</v>
      </c>
    </row>
    <row r="23" spans="1:10" s="24" customFormat="1" ht="21">
      <c r="A23" s="20" t="s">
        <v>38</v>
      </c>
      <c r="B23" s="25">
        <v>8</v>
      </c>
      <c r="C23" s="26" t="s">
        <v>69</v>
      </c>
      <c r="D23" s="20" t="s">
        <v>70</v>
      </c>
      <c r="E23" s="36" t="s">
        <v>71</v>
      </c>
      <c r="F23" s="26" t="s">
        <v>72</v>
      </c>
      <c r="G23" s="27">
        <v>2</v>
      </c>
      <c r="H23" s="20" t="s">
        <v>68</v>
      </c>
      <c r="I23" s="28">
        <v>370000</v>
      </c>
      <c r="J23" s="28">
        <f t="shared" si="0"/>
        <v>740000</v>
      </c>
    </row>
    <row r="24" spans="1:10" s="24" customFormat="1">
      <c r="A24" s="20" t="s">
        <v>38</v>
      </c>
      <c r="B24" s="25">
        <v>9</v>
      </c>
      <c r="C24" s="26" t="s">
        <v>73</v>
      </c>
      <c r="D24" s="20" t="s">
        <v>74</v>
      </c>
      <c r="E24" s="36" t="s">
        <v>75</v>
      </c>
      <c r="F24" s="26" t="s">
        <v>76</v>
      </c>
      <c r="G24" s="27">
        <v>1</v>
      </c>
      <c r="H24" s="20" t="s">
        <v>77</v>
      </c>
      <c r="I24" s="28">
        <v>724000</v>
      </c>
      <c r="J24" s="28">
        <f t="shared" si="0"/>
        <v>724000</v>
      </c>
    </row>
    <row r="25" spans="1:10">
      <c r="A25" s="29" t="s">
        <v>38</v>
      </c>
      <c r="B25" s="30">
        <v>10</v>
      </c>
      <c r="C25" s="31" t="s">
        <v>78</v>
      </c>
      <c r="D25" s="29"/>
      <c r="E25" s="37" t="s">
        <v>79</v>
      </c>
      <c r="F25" s="31" t="s">
        <v>80</v>
      </c>
      <c r="G25" s="32">
        <v>1</v>
      </c>
      <c r="H25" s="29" t="s">
        <v>34</v>
      </c>
      <c r="I25" s="33">
        <v>0</v>
      </c>
      <c r="J25" s="33">
        <f t="shared" si="0"/>
        <v>0</v>
      </c>
    </row>
    <row r="26" spans="1:10">
      <c r="A26" s="29" t="s">
        <v>38</v>
      </c>
      <c r="B26" s="30">
        <v>11</v>
      </c>
      <c r="C26" s="31"/>
      <c r="D26" s="29"/>
      <c r="E26" s="29"/>
      <c r="F26" s="31"/>
      <c r="G26" s="32">
        <v>1</v>
      </c>
      <c r="H26" s="29"/>
      <c r="I26" s="33">
        <v>0</v>
      </c>
      <c r="J26" s="33">
        <f t="shared" si="0"/>
        <v>0</v>
      </c>
    </row>
    <row r="27" spans="1:10">
      <c r="A27" s="29" t="s">
        <v>38</v>
      </c>
      <c r="B27" s="30">
        <v>12</v>
      </c>
      <c r="C27" s="31"/>
      <c r="D27" s="29"/>
      <c r="E27" s="29"/>
      <c r="F27" s="31"/>
      <c r="G27" s="32">
        <v>1</v>
      </c>
      <c r="H27" s="29"/>
      <c r="I27" s="33">
        <v>0</v>
      </c>
      <c r="J27" s="33">
        <f t="shared" si="0"/>
        <v>0</v>
      </c>
    </row>
    <row r="28" spans="1:10">
      <c r="A28" s="29" t="s">
        <v>38</v>
      </c>
      <c r="B28" s="30">
        <v>13</v>
      </c>
      <c r="C28" s="31"/>
      <c r="D28" s="29"/>
      <c r="E28" s="29"/>
      <c r="F28" s="31"/>
      <c r="G28" s="32">
        <v>1</v>
      </c>
      <c r="H28" s="29"/>
      <c r="I28" s="33">
        <v>0</v>
      </c>
      <c r="J28" s="33">
        <f t="shared" si="0"/>
        <v>0</v>
      </c>
    </row>
    <row r="29" spans="1:10">
      <c r="A29" s="29" t="s">
        <v>38</v>
      </c>
      <c r="B29" s="30">
        <v>14</v>
      </c>
      <c r="C29" s="31"/>
      <c r="D29" s="29"/>
      <c r="E29" s="29"/>
      <c r="F29" s="31"/>
      <c r="G29" s="32">
        <v>1</v>
      </c>
      <c r="H29" s="29"/>
      <c r="I29" s="33">
        <v>0</v>
      </c>
      <c r="J29" s="33">
        <f t="shared" si="0"/>
        <v>0</v>
      </c>
    </row>
    <row r="30" spans="1:10">
      <c r="A30" s="29" t="s">
        <v>38</v>
      </c>
      <c r="B30" s="30">
        <v>15</v>
      </c>
      <c r="C30" s="31"/>
      <c r="D30" s="29"/>
      <c r="E30" s="29"/>
      <c r="F30" s="31"/>
      <c r="G30" s="32">
        <v>1</v>
      </c>
      <c r="H30" s="29"/>
      <c r="I30" s="33">
        <v>0</v>
      </c>
      <c r="J30" s="33">
        <f t="shared" si="0"/>
        <v>0</v>
      </c>
    </row>
    <row r="31" spans="1:10" s="35" customFormat="1" ht="21" customHeight="1">
      <c r="A31" s="42" t="s">
        <v>81</v>
      </c>
      <c r="B31" s="42"/>
      <c r="C31" s="42"/>
      <c r="D31" s="42"/>
      <c r="E31" s="42"/>
      <c r="F31" s="42"/>
      <c r="G31" s="42"/>
      <c r="H31" s="42"/>
      <c r="I31" s="42"/>
      <c r="J31" s="38">
        <f>SUMPRODUCT(J16:J30)</f>
        <v>12696000</v>
      </c>
    </row>
    <row r="32" spans="1:10">
      <c r="A32" s="29" t="s">
        <v>82</v>
      </c>
      <c r="B32" s="30">
        <v>1</v>
      </c>
      <c r="C32" s="31" t="s">
        <v>83</v>
      </c>
      <c r="D32" s="29"/>
      <c r="E32" s="29"/>
      <c r="F32" s="31"/>
      <c r="G32" s="32">
        <v>1</v>
      </c>
      <c r="H32" s="29"/>
      <c r="I32" s="33">
        <v>0</v>
      </c>
      <c r="J32" s="33"/>
    </row>
    <row r="33" spans="1:10">
      <c r="A33" s="29" t="s">
        <v>82</v>
      </c>
      <c r="B33" s="30">
        <v>2</v>
      </c>
      <c r="C33" s="31" t="s">
        <v>84</v>
      </c>
      <c r="D33" s="29"/>
      <c r="E33" s="29"/>
      <c r="F33" s="31"/>
      <c r="G33" s="32">
        <v>1</v>
      </c>
      <c r="H33" s="29"/>
      <c r="I33" s="33">
        <v>0</v>
      </c>
      <c r="J33" s="33">
        <f t="shared" ref="J33:J44" si="1">I33*G33</f>
        <v>0</v>
      </c>
    </row>
    <row r="34" spans="1:10">
      <c r="A34" s="29" t="s">
        <v>82</v>
      </c>
      <c r="B34" s="30">
        <v>3</v>
      </c>
      <c r="C34" s="31" t="s">
        <v>85</v>
      </c>
      <c r="D34" s="29"/>
      <c r="E34" s="29"/>
      <c r="F34" s="31"/>
      <c r="G34" s="32">
        <v>1</v>
      </c>
      <c r="H34" s="29"/>
      <c r="I34" s="33">
        <v>0</v>
      </c>
      <c r="J34" s="33">
        <f t="shared" si="1"/>
        <v>0</v>
      </c>
    </row>
    <row r="35" spans="1:10" s="24" customFormat="1">
      <c r="A35" s="20" t="s">
        <v>82</v>
      </c>
      <c r="B35" s="25">
        <v>4</v>
      </c>
      <c r="C35" s="26" t="s">
        <v>86</v>
      </c>
      <c r="D35" s="20" t="s">
        <v>87</v>
      </c>
      <c r="E35" s="20"/>
      <c r="F35" s="26"/>
      <c r="G35" s="27">
        <v>1</v>
      </c>
      <c r="H35" s="20"/>
      <c r="I35" s="28">
        <v>1000000</v>
      </c>
      <c r="J35" s="28">
        <f t="shared" si="1"/>
        <v>1000000</v>
      </c>
    </row>
    <row r="36" spans="1:10" s="24" customFormat="1">
      <c r="A36" s="20" t="s">
        <v>82</v>
      </c>
      <c r="B36" s="25">
        <v>5</v>
      </c>
      <c r="C36" s="26" t="s">
        <v>88</v>
      </c>
      <c r="D36" s="20" t="s">
        <v>89</v>
      </c>
      <c r="E36" s="20"/>
      <c r="F36" s="26"/>
      <c r="G36" s="27">
        <v>1</v>
      </c>
      <c r="H36" s="20" t="s">
        <v>90</v>
      </c>
      <c r="I36" s="28">
        <v>5000000</v>
      </c>
      <c r="J36" s="28">
        <f t="shared" si="1"/>
        <v>5000000</v>
      </c>
    </row>
    <row r="37" spans="1:10">
      <c r="A37" s="29" t="s">
        <v>82</v>
      </c>
      <c r="B37" s="30">
        <v>6</v>
      </c>
      <c r="C37" s="31"/>
      <c r="D37" s="29"/>
      <c r="E37" s="29"/>
      <c r="F37" s="31"/>
      <c r="G37" s="32">
        <v>1</v>
      </c>
      <c r="H37" s="29"/>
      <c r="I37" s="33">
        <v>0</v>
      </c>
      <c r="J37" s="33">
        <f t="shared" si="1"/>
        <v>0</v>
      </c>
    </row>
    <row r="38" spans="1:10">
      <c r="A38" s="29" t="s">
        <v>82</v>
      </c>
      <c r="B38" s="30">
        <v>7</v>
      </c>
      <c r="C38" s="31"/>
      <c r="D38" s="29"/>
      <c r="E38" s="29"/>
      <c r="F38" s="31"/>
      <c r="G38" s="32">
        <v>1</v>
      </c>
      <c r="H38" s="29"/>
      <c r="I38" s="33">
        <v>0</v>
      </c>
      <c r="J38" s="33">
        <f t="shared" si="1"/>
        <v>0</v>
      </c>
    </row>
    <row r="39" spans="1:10">
      <c r="A39" s="29" t="s">
        <v>82</v>
      </c>
      <c r="B39" s="30">
        <v>8</v>
      </c>
      <c r="C39" s="31"/>
      <c r="D39" s="29"/>
      <c r="E39" s="29"/>
      <c r="F39" s="31"/>
      <c r="G39" s="32">
        <v>1</v>
      </c>
      <c r="H39" s="29"/>
      <c r="I39" s="33">
        <v>0</v>
      </c>
      <c r="J39" s="33">
        <f t="shared" si="1"/>
        <v>0</v>
      </c>
    </row>
    <row r="40" spans="1:10">
      <c r="A40" s="29" t="s">
        <v>82</v>
      </c>
      <c r="B40" s="30">
        <v>9</v>
      </c>
      <c r="C40" s="31"/>
      <c r="D40" s="29"/>
      <c r="E40" s="29"/>
      <c r="F40" s="31"/>
      <c r="G40" s="32">
        <v>1</v>
      </c>
      <c r="H40" s="29"/>
      <c r="I40" s="33">
        <v>0</v>
      </c>
      <c r="J40" s="33">
        <f t="shared" si="1"/>
        <v>0</v>
      </c>
    </row>
    <row r="41" spans="1:10">
      <c r="A41" s="29" t="s">
        <v>82</v>
      </c>
      <c r="B41" s="30">
        <v>10</v>
      </c>
      <c r="C41" s="31"/>
      <c r="D41" s="29"/>
      <c r="E41" s="29"/>
      <c r="F41" s="31"/>
      <c r="G41" s="32">
        <v>1</v>
      </c>
      <c r="H41" s="29"/>
      <c r="I41" s="33">
        <v>0</v>
      </c>
      <c r="J41" s="33">
        <f t="shared" si="1"/>
        <v>0</v>
      </c>
    </row>
    <row r="42" spans="1:10">
      <c r="A42" s="29" t="s">
        <v>82</v>
      </c>
      <c r="B42" s="30">
        <v>11</v>
      </c>
      <c r="C42" s="31"/>
      <c r="D42" s="29"/>
      <c r="E42" s="29"/>
      <c r="F42" s="31"/>
      <c r="G42" s="32">
        <v>1</v>
      </c>
      <c r="H42" s="29"/>
      <c r="I42" s="33">
        <v>0</v>
      </c>
      <c r="J42" s="33">
        <f t="shared" si="1"/>
        <v>0</v>
      </c>
    </row>
    <row r="43" spans="1:10">
      <c r="A43" s="29" t="s">
        <v>82</v>
      </c>
      <c r="B43" s="30">
        <v>12</v>
      </c>
      <c r="C43" s="31"/>
      <c r="D43" s="29"/>
      <c r="E43" s="29"/>
      <c r="F43" s="31"/>
      <c r="G43" s="32">
        <v>1</v>
      </c>
      <c r="H43" s="29"/>
      <c r="I43" s="33">
        <v>0</v>
      </c>
      <c r="J43" s="33">
        <f t="shared" si="1"/>
        <v>0</v>
      </c>
    </row>
    <row r="44" spans="1:10">
      <c r="A44" s="29" t="s">
        <v>82</v>
      </c>
      <c r="B44" s="30">
        <v>13</v>
      </c>
      <c r="C44" s="31"/>
      <c r="D44" s="29"/>
      <c r="E44" s="29"/>
      <c r="F44" s="31"/>
      <c r="G44" s="32">
        <v>1</v>
      </c>
      <c r="H44" s="29"/>
      <c r="I44" s="33">
        <v>0</v>
      </c>
      <c r="J44" s="33">
        <f t="shared" si="1"/>
        <v>0</v>
      </c>
    </row>
    <row r="45" spans="1:10" ht="25.9" customHeight="1">
      <c r="A45" s="42" t="s">
        <v>91</v>
      </c>
      <c r="B45" s="42"/>
      <c r="C45" s="42"/>
      <c r="D45" s="42"/>
      <c r="E45" s="42"/>
      <c r="F45" s="42"/>
      <c r="G45" s="42"/>
      <c r="H45" s="42"/>
      <c r="I45" s="42"/>
      <c r="J45" s="38">
        <f>SUMPRODUCT(J32:J44)</f>
        <v>6000000</v>
      </c>
    </row>
    <row r="46" spans="1:10">
      <c r="A46" s="29" t="s">
        <v>92</v>
      </c>
      <c r="B46" s="30">
        <v>1</v>
      </c>
      <c r="C46" s="31" t="s">
        <v>78</v>
      </c>
      <c r="D46" s="29"/>
      <c r="E46" s="29"/>
      <c r="F46" s="31"/>
      <c r="G46" s="32">
        <v>1</v>
      </c>
      <c r="H46" s="29"/>
      <c r="I46" s="33">
        <v>0</v>
      </c>
      <c r="J46" s="33">
        <f>I46*G46</f>
        <v>0</v>
      </c>
    </row>
    <row r="47" spans="1:10" s="24" customFormat="1">
      <c r="A47" s="20" t="s">
        <v>92</v>
      </c>
      <c r="B47" s="25">
        <v>2</v>
      </c>
      <c r="C47" s="26" t="s">
        <v>93</v>
      </c>
      <c r="D47" s="20" t="s">
        <v>70</v>
      </c>
      <c r="E47" s="20"/>
      <c r="F47" s="26"/>
      <c r="G47" s="27">
        <v>2</v>
      </c>
      <c r="H47" s="20" t="s">
        <v>68</v>
      </c>
      <c r="I47" s="28">
        <v>370000</v>
      </c>
      <c r="J47" s="28">
        <f t="shared" ref="J47:J58" si="2">I47*G47</f>
        <v>740000</v>
      </c>
    </row>
    <row r="48" spans="1:10" s="24" customFormat="1">
      <c r="A48" s="20" t="s">
        <v>92</v>
      </c>
      <c r="B48" s="25">
        <v>3</v>
      </c>
      <c r="C48" s="26" t="s">
        <v>94</v>
      </c>
      <c r="D48" s="20" t="s">
        <v>65</v>
      </c>
      <c r="E48" s="20"/>
      <c r="F48" s="26"/>
      <c r="G48" s="27">
        <v>2</v>
      </c>
      <c r="H48" s="20" t="s">
        <v>68</v>
      </c>
      <c r="I48" s="28">
        <v>900000</v>
      </c>
      <c r="J48" s="28">
        <f t="shared" si="2"/>
        <v>1800000</v>
      </c>
    </row>
    <row r="49" spans="1:10" s="24" customFormat="1">
      <c r="A49" s="20" t="s">
        <v>92</v>
      </c>
      <c r="B49" s="25">
        <v>4</v>
      </c>
      <c r="C49" s="26" t="s">
        <v>73</v>
      </c>
      <c r="D49" s="20" t="s">
        <v>95</v>
      </c>
      <c r="E49" s="20"/>
      <c r="F49" s="26"/>
      <c r="G49" s="27">
        <v>1</v>
      </c>
      <c r="H49" s="20" t="s">
        <v>77</v>
      </c>
      <c r="I49" s="28">
        <v>724000</v>
      </c>
      <c r="J49" s="28">
        <f t="shared" si="2"/>
        <v>724000</v>
      </c>
    </row>
    <row r="50" spans="1:10">
      <c r="A50" s="29" t="s">
        <v>92</v>
      </c>
      <c r="B50" s="30">
        <v>5</v>
      </c>
      <c r="C50" s="31" t="s">
        <v>96</v>
      </c>
      <c r="D50" s="29"/>
      <c r="E50" s="29"/>
      <c r="F50" s="31"/>
      <c r="G50" s="32">
        <v>1</v>
      </c>
      <c r="H50" s="29"/>
      <c r="I50" s="33">
        <v>0</v>
      </c>
      <c r="J50" s="33">
        <f t="shared" si="2"/>
        <v>0</v>
      </c>
    </row>
    <row r="51" spans="1:10" s="24" customFormat="1">
      <c r="A51" s="20" t="s">
        <v>92</v>
      </c>
      <c r="B51" s="25">
        <v>6</v>
      </c>
      <c r="C51" s="26" t="s">
        <v>97</v>
      </c>
      <c r="D51" s="20" t="s">
        <v>98</v>
      </c>
      <c r="E51" s="20"/>
      <c r="F51" s="26"/>
      <c r="G51" s="27">
        <v>2</v>
      </c>
      <c r="H51" s="20" t="s">
        <v>48</v>
      </c>
      <c r="I51" s="28">
        <v>900000</v>
      </c>
      <c r="J51" s="28">
        <f t="shared" si="2"/>
        <v>1800000</v>
      </c>
    </row>
    <row r="52" spans="1:10">
      <c r="A52" s="29" t="s">
        <v>92</v>
      </c>
      <c r="B52" s="30">
        <v>7</v>
      </c>
      <c r="C52" s="31" t="s">
        <v>99</v>
      </c>
      <c r="D52" s="29"/>
      <c r="E52" s="29"/>
      <c r="F52" s="31"/>
      <c r="G52" s="32">
        <v>1</v>
      </c>
      <c r="H52" s="29"/>
      <c r="I52" s="33">
        <v>0</v>
      </c>
      <c r="J52" s="33">
        <f t="shared" si="2"/>
        <v>0</v>
      </c>
    </row>
    <row r="53" spans="1:10">
      <c r="A53" s="29" t="s">
        <v>92</v>
      </c>
      <c r="B53" s="30">
        <v>8</v>
      </c>
      <c r="C53" s="31" t="s">
        <v>100</v>
      </c>
      <c r="D53" s="29"/>
      <c r="E53" s="29"/>
      <c r="F53" s="31"/>
      <c r="G53" s="32">
        <v>1</v>
      </c>
      <c r="H53" s="29"/>
      <c r="I53" s="33">
        <v>0</v>
      </c>
      <c r="J53" s="33">
        <f t="shared" si="2"/>
        <v>0</v>
      </c>
    </row>
    <row r="54" spans="1:10" s="24" customFormat="1">
      <c r="A54" s="20" t="s">
        <v>92</v>
      </c>
      <c r="B54" s="25">
        <v>9</v>
      </c>
      <c r="C54" s="26" t="s">
        <v>101</v>
      </c>
      <c r="D54" s="20" t="s">
        <v>50</v>
      </c>
      <c r="E54" s="20"/>
      <c r="F54" s="26"/>
      <c r="G54" s="27">
        <v>8</v>
      </c>
      <c r="H54" s="20" t="s">
        <v>53</v>
      </c>
      <c r="I54" s="28">
        <v>54000</v>
      </c>
      <c r="J54" s="28">
        <f t="shared" si="2"/>
        <v>432000</v>
      </c>
    </row>
    <row r="55" spans="1:10" s="24" customFormat="1">
      <c r="A55" s="20" t="s">
        <v>92</v>
      </c>
      <c r="B55" s="25">
        <v>10</v>
      </c>
      <c r="C55" s="26" t="s">
        <v>99</v>
      </c>
      <c r="D55" s="20" t="s">
        <v>102</v>
      </c>
      <c r="E55" s="20"/>
      <c r="F55" s="26"/>
      <c r="G55" s="27">
        <v>1</v>
      </c>
      <c r="H55" s="20" t="s">
        <v>103</v>
      </c>
      <c r="I55" s="28">
        <v>7500000</v>
      </c>
      <c r="J55" s="28">
        <f t="shared" si="2"/>
        <v>7500000</v>
      </c>
    </row>
    <row r="56" spans="1:10">
      <c r="A56" s="29" t="s">
        <v>92</v>
      </c>
      <c r="B56" s="30">
        <v>11</v>
      </c>
      <c r="C56" s="31"/>
      <c r="D56" s="29"/>
      <c r="E56" s="29"/>
      <c r="F56" s="31"/>
      <c r="G56" s="32">
        <v>1</v>
      </c>
      <c r="H56" s="29"/>
      <c r="I56" s="33">
        <v>0</v>
      </c>
      <c r="J56" s="33">
        <f t="shared" si="2"/>
        <v>0</v>
      </c>
    </row>
    <row r="57" spans="1:10">
      <c r="A57" s="29" t="s">
        <v>92</v>
      </c>
      <c r="B57" s="30">
        <v>12</v>
      </c>
      <c r="C57" s="31"/>
      <c r="D57" s="29"/>
      <c r="E57" s="29"/>
      <c r="F57" s="31"/>
      <c r="G57" s="32">
        <v>1</v>
      </c>
      <c r="H57" s="29"/>
      <c r="I57" s="33">
        <v>0</v>
      </c>
      <c r="J57" s="33">
        <f t="shared" si="2"/>
        <v>0</v>
      </c>
    </row>
    <row r="58" spans="1:10">
      <c r="A58" s="29" t="s">
        <v>92</v>
      </c>
      <c r="B58" s="30">
        <v>13</v>
      </c>
      <c r="C58" s="31"/>
      <c r="D58" s="29"/>
      <c r="E58" s="29"/>
      <c r="F58" s="31"/>
      <c r="G58" s="32">
        <v>1</v>
      </c>
      <c r="H58" s="29"/>
      <c r="I58" s="33">
        <v>0</v>
      </c>
      <c r="J58" s="33">
        <f t="shared" si="2"/>
        <v>0</v>
      </c>
    </row>
    <row r="59" spans="1:10" ht="31.9" customHeight="1">
      <c r="A59" s="42" t="s">
        <v>104</v>
      </c>
      <c r="B59" s="42"/>
      <c r="C59" s="42"/>
      <c r="D59" s="42"/>
      <c r="E59" s="42"/>
      <c r="F59" s="42"/>
      <c r="G59" s="42"/>
      <c r="H59" s="42"/>
      <c r="I59" s="42"/>
      <c r="J59" s="38">
        <f>SUMPRODUCT(J46:J58)</f>
        <v>12996000</v>
      </c>
    </row>
    <row r="60" spans="1:10">
      <c r="A60" s="29" t="s">
        <v>105</v>
      </c>
      <c r="B60" s="30">
        <v>1</v>
      </c>
      <c r="C60" s="31" t="s">
        <v>106</v>
      </c>
      <c r="D60" s="29"/>
      <c r="E60" s="29"/>
      <c r="F60" s="31"/>
      <c r="G60" s="32">
        <v>1</v>
      </c>
      <c r="H60" s="29"/>
      <c r="I60" s="33">
        <v>0</v>
      </c>
      <c r="J60" s="33">
        <f t="shared" ref="J60:J81" si="3">I60*G60</f>
        <v>0</v>
      </c>
    </row>
    <row r="61" spans="1:10" ht="26.45">
      <c r="A61" s="29" t="s">
        <v>105</v>
      </c>
      <c r="B61" s="30">
        <v>2</v>
      </c>
      <c r="C61" s="31" t="s">
        <v>107</v>
      </c>
      <c r="D61" s="29"/>
      <c r="E61" s="29"/>
      <c r="F61" s="31"/>
      <c r="G61" s="32">
        <v>1</v>
      </c>
      <c r="H61" s="29"/>
      <c r="I61" s="33">
        <v>0</v>
      </c>
      <c r="J61" s="33">
        <f t="shared" si="3"/>
        <v>0</v>
      </c>
    </row>
    <row r="62" spans="1:10">
      <c r="A62" s="29" t="s">
        <v>105</v>
      </c>
      <c r="B62" s="30">
        <v>3</v>
      </c>
      <c r="C62" s="31" t="s">
        <v>101</v>
      </c>
      <c r="D62" s="29"/>
      <c r="E62" s="29"/>
      <c r="F62" s="31"/>
      <c r="G62" s="32">
        <v>1</v>
      </c>
      <c r="H62" s="29"/>
      <c r="I62" s="33">
        <v>0</v>
      </c>
      <c r="J62" s="33">
        <f t="shared" si="3"/>
        <v>0</v>
      </c>
    </row>
    <row r="63" spans="1:10">
      <c r="A63" s="29" t="s">
        <v>105</v>
      </c>
      <c r="B63" s="30">
        <v>4</v>
      </c>
      <c r="C63" s="31" t="s">
        <v>108</v>
      </c>
      <c r="D63" s="29"/>
      <c r="E63" s="29"/>
      <c r="F63" s="31"/>
      <c r="G63" s="32">
        <v>1</v>
      </c>
      <c r="H63" s="29"/>
      <c r="I63" s="33">
        <v>0</v>
      </c>
      <c r="J63" s="33">
        <f t="shared" si="3"/>
        <v>0</v>
      </c>
    </row>
    <row r="64" spans="1:10">
      <c r="A64" s="29" t="s">
        <v>105</v>
      </c>
      <c r="B64" s="30">
        <v>5</v>
      </c>
      <c r="C64" s="31" t="s">
        <v>109</v>
      </c>
      <c r="D64" s="29"/>
      <c r="E64" s="29"/>
      <c r="F64" s="31"/>
      <c r="G64" s="32">
        <v>1</v>
      </c>
      <c r="H64" s="29"/>
      <c r="I64" s="33">
        <v>0</v>
      </c>
      <c r="J64" s="33">
        <f t="shared" si="3"/>
        <v>0</v>
      </c>
    </row>
    <row r="65" spans="1:10" ht="26.45">
      <c r="A65" s="29" t="s">
        <v>105</v>
      </c>
      <c r="B65" s="30">
        <v>6</v>
      </c>
      <c r="C65" s="31" t="s">
        <v>110</v>
      </c>
      <c r="D65" s="29"/>
      <c r="E65" s="29"/>
      <c r="F65" s="31"/>
      <c r="G65" s="32">
        <v>1</v>
      </c>
      <c r="H65" s="29"/>
      <c r="I65" s="33">
        <v>0</v>
      </c>
      <c r="J65" s="33">
        <f t="shared" si="3"/>
        <v>0</v>
      </c>
    </row>
    <row r="66" spans="1:10">
      <c r="A66" s="29" t="s">
        <v>105</v>
      </c>
      <c r="B66" s="30">
        <v>7</v>
      </c>
      <c r="C66" s="31" t="s">
        <v>111</v>
      </c>
      <c r="D66" s="29"/>
      <c r="E66" s="29"/>
      <c r="F66" s="31"/>
      <c r="G66" s="32">
        <v>1</v>
      </c>
      <c r="H66" s="29"/>
      <c r="I66" s="33">
        <v>0</v>
      </c>
      <c r="J66" s="33">
        <f t="shared" si="3"/>
        <v>0</v>
      </c>
    </row>
    <row r="67" spans="1:10">
      <c r="A67" s="29" t="s">
        <v>105</v>
      </c>
      <c r="B67" s="30">
        <v>8</v>
      </c>
      <c r="C67" s="31" t="s">
        <v>112</v>
      </c>
      <c r="D67" s="29"/>
      <c r="E67" s="29"/>
      <c r="F67" s="31"/>
      <c r="G67" s="32">
        <v>1</v>
      </c>
      <c r="H67" s="29"/>
      <c r="I67" s="33">
        <v>0</v>
      </c>
      <c r="J67" s="33">
        <f t="shared" si="3"/>
        <v>0</v>
      </c>
    </row>
    <row r="68" spans="1:10" s="24" customFormat="1" ht="26.45">
      <c r="A68" s="20" t="s">
        <v>105</v>
      </c>
      <c r="B68" s="25">
        <v>9</v>
      </c>
      <c r="C68" s="26" t="s">
        <v>113</v>
      </c>
      <c r="D68" s="20" t="s">
        <v>114</v>
      </c>
      <c r="E68" s="20"/>
      <c r="F68" s="26"/>
      <c r="G68" s="27">
        <v>1</v>
      </c>
      <c r="H68" s="20"/>
      <c r="I68" s="28">
        <v>2500000</v>
      </c>
      <c r="J68" s="28">
        <f t="shared" si="3"/>
        <v>2500000</v>
      </c>
    </row>
    <row r="69" spans="1:10">
      <c r="A69" s="29" t="s">
        <v>105</v>
      </c>
      <c r="B69" s="30">
        <v>10</v>
      </c>
      <c r="C69" s="31" t="s">
        <v>115</v>
      </c>
      <c r="D69" s="29"/>
      <c r="E69" s="29"/>
      <c r="F69" s="31"/>
      <c r="G69" s="32">
        <v>1</v>
      </c>
      <c r="H69" s="29"/>
      <c r="I69" s="33">
        <v>0</v>
      </c>
      <c r="J69" s="33">
        <f t="shared" si="3"/>
        <v>0</v>
      </c>
    </row>
    <row r="70" spans="1:10" s="24" customFormat="1" ht="26.45">
      <c r="A70" s="20" t="s">
        <v>105</v>
      </c>
      <c r="B70" s="25">
        <v>11</v>
      </c>
      <c r="C70" s="26" t="s">
        <v>116</v>
      </c>
      <c r="D70" s="20" t="s">
        <v>117</v>
      </c>
      <c r="E70" s="20"/>
      <c r="F70" s="26"/>
      <c r="G70" s="27">
        <v>1</v>
      </c>
      <c r="H70" s="20" t="s">
        <v>36</v>
      </c>
      <c r="I70" s="28">
        <v>5000000</v>
      </c>
      <c r="J70" s="28">
        <f t="shared" si="3"/>
        <v>5000000</v>
      </c>
    </row>
    <row r="71" spans="1:10">
      <c r="A71" s="29" t="s">
        <v>105</v>
      </c>
      <c r="B71" s="30">
        <v>12</v>
      </c>
      <c r="C71" s="31" t="s">
        <v>118</v>
      </c>
      <c r="D71" s="29"/>
      <c r="E71" s="29"/>
      <c r="F71" s="31"/>
      <c r="G71" s="32">
        <v>1</v>
      </c>
      <c r="H71" s="29"/>
      <c r="I71" s="33">
        <v>0</v>
      </c>
      <c r="J71" s="33">
        <f t="shared" si="3"/>
        <v>0</v>
      </c>
    </row>
    <row r="72" spans="1:10" ht="26.45">
      <c r="A72" s="29" t="s">
        <v>105</v>
      </c>
      <c r="B72" s="30">
        <v>13</v>
      </c>
      <c r="C72" s="31" t="s">
        <v>119</v>
      </c>
      <c r="D72" s="29"/>
      <c r="E72" s="29"/>
      <c r="F72" s="31"/>
      <c r="G72" s="32">
        <v>1</v>
      </c>
      <c r="H72" s="29"/>
      <c r="I72" s="33">
        <v>0</v>
      </c>
      <c r="J72" s="33">
        <f t="shared" si="3"/>
        <v>0</v>
      </c>
    </row>
    <row r="73" spans="1:10">
      <c r="A73" s="29" t="s">
        <v>105</v>
      </c>
      <c r="B73" s="30">
        <v>14</v>
      </c>
      <c r="C73" s="31"/>
      <c r="D73" s="29"/>
      <c r="E73" s="29"/>
      <c r="F73" s="31"/>
      <c r="G73" s="32">
        <v>1</v>
      </c>
      <c r="H73" s="29"/>
      <c r="I73" s="33">
        <v>0</v>
      </c>
      <c r="J73" s="33">
        <f t="shared" si="3"/>
        <v>0</v>
      </c>
    </row>
    <row r="74" spans="1:10">
      <c r="A74" s="29" t="s">
        <v>105</v>
      </c>
      <c r="B74" s="30">
        <v>15</v>
      </c>
      <c r="C74" s="31"/>
      <c r="D74" s="29"/>
      <c r="E74" s="29"/>
      <c r="F74" s="31"/>
      <c r="G74" s="32">
        <v>1</v>
      </c>
      <c r="H74" s="29"/>
      <c r="I74" s="33">
        <v>0</v>
      </c>
      <c r="J74" s="33">
        <f t="shared" si="3"/>
        <v>0</v>
      </c>
    </row>
    <row r="75" spans="1:10">
      <c r="A75" s="29" t="s">
        <v>105</v>
      </c>
      <c r="B75" s="30">
        <v>16</v>
      </c>
      <c r="C75" s="31"/>
      <c r="D75" s="29"/>
      <c r="E75" s="29"/>
      <c r="F75" s="31"/>
      <c r="G75" s="32">
        <v>1</v>
      </c>
      <c r="H75" s="29"/>
      <c r="I75" s="33">
        <v>0</v>
      </c>
      <c r="J75" s="33">
        <f t="shared" si="3"/>
        <v>0</v>
      </c>
    </row>
    <row r="76" spans="1:10">
      <c r="A76" s="29" t="s">
        <v>105</v>
      </c>
      <c r="B76" s="30">
        <v>17</v>
      </c>
      <c r="C76" s="31"/>
      <c r="D76" s="29"/>
      <c r="E76" s="29"/>
      <c r="F76" s="31"/>
      <c r="G76" s="32">
        <v>1</v>
      </c>
      <c r="H76" s="29"/>
      <c r="I76" s="33">
        <v>0</v>
      </c>
      <c r="J76" s="33">
        <f t="shared" si="3"/>
        <v>0</v>
      </c>
    </row>
    <row r="77" spans="1:10">
      <c r="A77" s="29" t="s">
        <v>105</v>
      </c>
      <c r="B77" s="30">
        <v>18</v>
      </c>
      <c r="C77" s="31"/>
      <c r="D77" s="29"/>
      <c r="E77" s="29"/>
      <c r="F77" s="31"/>
      <c r="G77" s="32">
        <v>1</v>
      </c>
      <c r="H77" s="29"/>
      <c r="I77" s="33">
        <v>0</v>
      </c>
      <c r="J77" s="33">
        <f t="shared" si="3"/>
        <v>0</v>
      </c>
    </row>
    <row r="78" spans="1:10">
      <c r="A78" s="29" t="s">
        <v>105</v>
      </c>
      <c r="B78" s="30">
        <v>19</v>
      </c>
      <c r="C78" s="31"/>
      <c r="D78" s="29"/>
      <c r="E78" s="29"/>
      <c r="F78" s="31"/>
      <c r="G78" s="32">
        <v>1</v>
      </c>
      <c r="H78" s="29"/>
      <c r="I78" s="33">
        <v>0</v>
      </c>
      <c r="J78" s="33">
        <f t="shared" si="3"/>
        <v>0</v>
      </c>
    </row>
    <row r="79" spans="1:10">
      <c r="A79" s="29" t="s">
        <v>105</v>
      </c>
      <c r="B79" s="30">
        <v>20</v>
      </c>
      <c r="C79" s="31"/>
      <c r="D79" s="29"/>
      <c r="E79" s="29"/>
      <c r="F79" s="31"/>
      <c r="G79" s="32">
        <v>1</v>
      </c>
      <c r="H79" s="29"/>
      <c r="I79" s="33">
        <v>0</v>
      </c>
      <c r="J79" s="33">
        <f t="shared" si="3"/>
        <v>0</v>
      </c>
    </row>
    <row r="80" spans="1:10">
      <c r="A80" s="29" t="s">
        <v>105</v>
      </c>
      <c r="B80" s="30">
        <v>21</v>
      </c>
      <c r="C80" s="31"/>
      <c r="D80" s="29"/>
      <c r="E80" s="29"/>
      <c r="F80" s="31"/>
      <c r="G80" s="32">
        <v>1</v>
      </c>
      <c r="H80" s="29"/>
      <c r="I80" s="33">
        <v>0</v>
      </c>
      <c r="J80" s="33">
        <f t="shared" si="3"/>
        <v>0</v>
      </c>
    </row>
    <row r="81" spans="1:10">
      <c r="A81" s="29" t="s">
        <v>105</v>
      </c>
      <c r="B81" s="30">
        <v>22</v>
      </c>
      <c r="C81" s="31"/>
      <c r="D81" s="29"/>
      <c r="E81" s="29"/>
      <c r="F81" s="31"/>
      <c r="G81" s="32">
        <v>1</v>
      </c>
      <c r="H81" s="29"/>
      <c r="I81" s="33">
        <v>0</v>
      </c>
      <c r="J81" s="33">
        <f t="shared" si="3"/>
        <v>0</v>
      </c>
    </row>
    <row r="82" spans="1:10" ht="38.450000000000003" customHeight="1">
      <c r="A82" s="42" t="s">
        <v>120</v>
      </c>
      <c r="B82" s="42"/>
      <c r="C82" s="42"/>
      <c r="D82" s="42"/>
      <c r="E82" s="42"/>
      <c r="F82" s="42"/>
      <c r="G82" s="42"/>
      <c r="H82" s="42"/>
      <c r="I82" s="42"/>
      <c r="J82" s="38">
        <f>SUMPRODUCT(J60:J81)</f>
        <v>7500000</v>
      </c>
    </row>
    <row r="84" spans="1:10" ht="21">
      <c r="J84" s="39">
        <f>J82+J59+J45+J31+J15</f>
        <v>45342000</v>
      </c>
    </row>
    <row r="86" spans="1:10" ht="14.45">
      <c r="C86" s="40"/>
      <c r="D86" s="40"/>
      <c r="E86" s="40"/>
      <c r="F86" s="40"/>
      <c r="G86" s="40"/>
    </row>
    <row r="87" spans="1:10" ht="14.45">
      <c r="C87" s="41"/>
      <c r="D87" s="41"/>
      <c r="E87" s="41"/>
      <c r="F87" s="41"/>
      <c r="G87" s="41"/>
      <c r="H87" s="40"/>
    </row>
    <row r="88" spans="1:10" ht="14.45">
      <c r="C88" s="41"/>
      <c r="D88" s="41"/>
      <c r="E88" s="41"/>
      <c r="F88" s="41"/>
      <c r="G88" s="41"/>
    </row>
    <row r="89" spans="1:10" ht="14.45">
      <c r="C89" s="41"/>
      <c r="D89" s="41"/>
      <c r="E89" s="41"/>
      <c r="F89" s="41"/>
      <c r="G89" s="41"/>
    </row>
    <row r="90" spans="1:10" ht="14.45">
      <c r="C90" s="41"/>
      <c r="D90" s="41"/>
      <c r="E90" s="41"/>
      <c r="F90" s="41"/>
      <c r="G90" s="41"/>
    </row>
    <row r="91" spans="1:10" ht="14.45">
      <c r="C91" s="41"/>
      <c r="D91" s="41"/>
      <c r="E91" s="41"/>
      <c r="F91" s="41"/>
      <c r="G91" s="41"/>
    </row>
    <row r="92" spans="1:10" ht="14.45">
      <c r="C92" s="41"/>
      <c r="D92" s="41"/>
      <c r="E92" s="41"/>
      <c r="F92" s="41"/>
      <c r="G92" s="41"/>
    </row>
    <row r="93" spans="1:10" ht="14.45">
      <c r="C93" s="41"/>
      <c r="D93" s="41"/>
      <c r="E93" s="41"/>
      <c r="F93" s="41"/>
      <c r="G93" s="41"/>
    </row>
    <row r="94" spans="1:10" ht="14.45">
      <c r="C94" s="41"/>
      <c r="D94" s="41"/>
      <c r="E94" s="41"/>
      <c r="F94" s="41"/>
      <c r="G94" s="41"/>
    </row>
    <row r="95" spans="1:10" ht="14.45">
      <c r="C95" s="41"/>
      <c r="D95" s="41"/>
      <c r="E95" s="41"/>
      <c r="F95" s="41"/>
      <c r="G95" s="41"/>
    </row>
    <row r="96" spans="1:10" ht="14.45">
      <c r="C96" s="41"/>
      <c r="D96" s="41"/>
      <c r="E96" s="41"/>
      <c r="F96" s="41"/>
      <c r="G96" s="41"/>
    </row>
  </sheetData>
  <mergeCells count="7">
    <mergeCell ref="A82:I82"/>
    <mergeCell ref="B7:B8"/>
    <mergeCell ref="J7:J8"/>
    <mergeCell ref="A15:I15"/>
    <mergeCell ref="A31:I31"/>
    <mergeCell ref="A45:I45"/>
    <mergeCell ref="A59:I59"/>
  </mergeCells>
  <dataValidations count="7">
    <dataValidation type="list" allowBlank="1" showInputMessage="1" showErrorMessage="1" sqref="C4" xr:uid="{B9B64837-89BC-4DB4-B1F5-2665491D3035}">
      <formula1>"Tahun 1, Tahun 2"</formula1>
    </dataValidation>
    <dataValidation type="list" allowBlank="1" showInputMessage="1" showErrorMessage="1" sqref="A9:A14 A83:A1048576 A16:A30 A32:A44 A46:A58 A60:A81" xr:uid="{2F29A462-1221-464C-AE48-122DEF7B0CCB}">
      <formula1>"Bahan, Pengumpulan Data, Sewa Peralatan, Pelaporan Hasil Penelitian dan Luaran Wajib, Analisis Data"</formula1>
    </dataValidation>
    <dataValidation type="list" allowBlank="1" showInputMessage="1" showErrorMessage="1" sqref="C9:C14" xr:uid="{873B66B3-FD1E-4942-9496-5B08E150B16F}">
      <formula1>"Belanja ATK, Belanja Penelitian (Habis Pakai)"</formula1>
    </dataValidation>
    <dataValidation type="list" allowBlank="1" showInputMessage="1" showErrorMessage="1" sqref="C16:C30" xr:uid="{D57CB531-30FB-4025-8374-7379D9972AF2}">
      <formula1>"HR Pembantu Peneliti, HR Narasumber, Biaya Konsumsi, Honorarium Petugas Survei, Kegiatan Survei, Honor Pembantu Lapangan, Biaya Taksi Bandara/Transportasi, Uang Harian Dalam Negeri, Penginapan, Tiket"</formula1>
    </dataValidation>
    <dataValidation type="list" allowBlank="1" showInputMessage="1" showErrorMessage="1" sqref="C32:C44" xr:uid="{267412D1-8C0F-4B9D-B0FA-C6F5A3C51C45}">
      <formula1>"Kendaraan, Kebun Percobaan/Lahan Percobaan, Objek Penelitian, Ruang Penunjang Penelitian, Peralatan Penelitian"</formula1>
    </dataValidation>
    <dataValidation type="list" allowBlank="1" showInputMessage="1" showErrorMessage="1" sqref="C46:C58" xr:uid="{B0BD91BF-8E0E-4F07-B165-C26C94A37CA1}">
      <formula1>"Tiket, Uang Harian, Transport, Penginapan, HR Pengolah Data, Honorarium Narasumber, Biaya Analisis Sample, HR Sekretariat/Administrasi Peneliti, Biaya Konsumsi Rapat"</formula1>
    </dataValidation>
    <dataValidation type="list" allowBlank="1" showInputMessage="1" showErrorMessage="1" sqref="C60:C81" xr:uid="{D1D4CD74-67D5-4709-B53A-39083E5E886B}">
      <formula1>$C$60:$C$72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8F751BFF3293294DABA5445AA4741283" ma:contentTypeVersion="11" ma:contentTypeDescription="Buat sebuah dokumen baru." ma:contentTypeScope="" ma:versionID="3a251653b28b4a3821d1134550373678">
  <xsd:schema xmlns:xsd="http://www.w3.org/2001/XMLSchema" xmlns:xs="http://www.w3.org/2001/XMLSchema" xmlns:p="http://schemas.microsoft.com/office/2006/metadata/properties" xmlns:ns2="34d66243-ae07-4cd9-bfc5-536fffb0c3a6" xmlns:ns3="490ea5e9-5a30-480b-bfee-3314535610c0" targetNamespace="http://schemas.microsoft.com/office/2006/metadata/properties" ma:root="true" ma:fieldsID="ec8f3d4b157de5e26dcea0f89ebf32a8" ns2:_="" ns3:_="">
    <xsd:import namespace="34d66243-ae07-4cd9-bfc5-536fffb0c3a6"/>
    <xsd:import namespace="490ea5e9-5a30-480b-bfee-3314535610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66243-ae07-4cd9-bfc5-536fffb0c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Gambar" ma:readOnly="false" ma:fieldId="{5cf76f15-5ced-4ddc-b409-7134ff3c332f}" ma:taxonomyMulti="true" ma:sspId="148dfa17-321a-42f1-a07d-fa8dbf26b2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0ea5e9-5a30-480b-bfee-3314535610c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6b5c24-d5aa-4448-b6f8-72d6d3f8073b}" ma:internalName="TaxCatchAll" ma:showField="CatchAllData" ma:web="490ea5e9-5a30-480b-bfee-331453561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d66243-ae07-4cd9-bfc5-536fffb0c3a6">
      <Terms xmlns="http://schemas.microsoft.com/office/infopath/2007/PartnerControls"/>
    </lcf76f155ced4ddcb4097134ff3c332f>
    <TaxCatchAll xmlns="490ea5e9-5a30-480b-bfee-3314535610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2F06EC-7E95-4F05-9049-4093855E9975}"/>
</file>

<file path=customXml/itemProps2.xml><?xml version="1.0" encoding="utf-8"?>
<ds:datastoreItem xmlns:ds="http://schemas.openxmlformats.org/officeDocument/2006/customXml" ds:itemID="{B77FB778-67B5-4ADA-9EB1-3F5DC71B50E9}"/>
</file>

<file path=customXml/itemProps3.xml><?xml version="1.0" encoding="utf-8"?>
<ds:datastoreItem xmlns:ds="http://schemas.openxmlformats.org/officeDocument/2006/customXml" ds:itemID="{664E524D-CE20-48AB-9BA5-5479E0229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Dimas A Adi Saputra (L01110)</dc:creator>
  <cp:keywords/>
  <dc:description/>
  <cp:lastModifiedBy>2022 DARRYL PRATAMA ISWAHYUDHI</cp:lastModifiedBy>
  <cp:revision/>
  <dcterms:created xsi:type="dcterms:W3CDTF">2026-03-11T01:31:28Z</dcterms:created>
  <dcterms:modified xsi:type="dcterms:W3CDTF">2026-03-11T01:38:45Z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0x0101008F751BFF3293294DABA5445AA4741283</vt:lpwstr>
  </property>
</Properties>
</file>